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1"/>
  </bookViews>
  <sheets>
    <sheet name="填写说明" sheetId="1" r:id="rId1"/>
    <sheet name="项目工作量评估表" sheetId="2" r:id="rId2"/>
    <sheet name="独立测试" sheetId="3" r:id="rId3"/>
    <sheet name="产品采购评估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<sst xmlns="http://schemas.openxmlformats.org/spreadsheetml/2006/main" count="140" uniqueCount="59">
  <si>
    <t>表格说明</t>
  </si>
  <si>
    <r>
      <rPr>
        <sz val="14"/>
        <rFont val="宋体"/>
        <charset val="134"/>
        <scheme val="minor"/>
      </rPr>
      <t>1.项目工作量评估表：项目类型涉及实施类项目时需要填写的工作量，</t>
    </r>
    <r>
      <rPr>
        <sz val="14"/>
        <color rgb="FFFF0000"/>
        <rFont val="宋体"/>
        <charset val="134"/>
        <scheme val="minor"/>
      </rPr>
      <t>工作量内容仅为科技侧工作量，不含业务侧工作量。</t>
    </r>
    <r>
      <rPr>
        <sz val="14"/>
        <rFont val="宋体"/>
        <charset val="134"/>
        <scheme val="minor"/>
      </rPr>
      <t xml:space="preserve">
2.独立测试:涉及独立测试需要填写，</t>
    </r>
    <r>
      <rPr>
        <sz val="14"/>
        <color rgb="FFFF0000"/>
        <rFont val="宋体"/>
        <charset val="134"/>
        <scheme val="minor"/>
      </rPr>
      <t>工作量内容仅为科技侧工作量，不含业务侧工作量。</t>
    </r>
    <r>
      <rPr>
        <sz val="14"/>
        <rFont val="宋体"/>
        <charset val="134"/>
        <scheme val="minor"/>
      </rPr>
      <t xml:space="preserve">
3.产品采购评估表：项目类型涉及产品项目时需要填写。
4.备注：本工作项的产出物、特殊说明等内容。</t>
    </r>
  </si>
  <si>
    <t xml:space="preserve"> </t>
  </si>
  <si>
    <r>
      <rPr>
        <b/>
        <sz val="18"/>
        <rFont val="宋体"/>
        <charset val="134"/>
        <scheme val="minor"/>
      </rPr>
      <t>项目工作量评估表（</t>
    </r>
    <r>
      <rPr>
        <b/>
        <sz val="18"/>
        <color rgb="FFFF0000"/>
        <rFont val="宋体"/>
        <charset val="134"/>
        <scheme val="minor"/>
      </rPr>
      <t>仅为科技侧工作量</t>
    </r>
    <r>
      <rPr>
        <b/>
        <sz val="18"/>
        <rFont val="宋体"/>
        <charset val="134"/>
        <scheme val="minor"/>
      </rPr>
      <t>）</t>
    </r>
  </si>
  <si>
    <r>
      <rPr>
        <b/>
        <sz val="12"/>
        <rFont val="宋体"/>
        <charset val="134"/>
      </rPr>
      <t>项目编号</t>
    </r>
    <r>
      <rPr>
        <sz val="12"/>
        <rFont val="宋体"/>
        <charset val="134"/>
      </rPr>
      <t>：XXXX</t>
    </r>
  </si>
  <si>
    <r>
      <t>项目名称</t>
    </r>
    <r>
      <rPr>
        <sz val="12"/>
        <rFont val="宋体"/>
        <charset val="134"/>
      </rPr>
      <t>：XXXX</t>
    </r>
  </si>
  <si>
    <r>
      <rPr>
        <b/>
        <sz val="12"/>
        <rFont val="宋体"/>
        <charset val="134"/>
      </rPr>
      <t>系统名称</t>
    </r>
    <r>
      <rPr>
        <sz val="12"/>
        <rFont val="宋体"/>
        <charset val="134"/>
      </rPr>
      <t>：XXXXX</t>
    </r>
  </si>
  <si>
    <t>项目阶段</t>
  </si>
  <si>
    <t>系统模块</t>
  </si>
  <si>
    <t>功能</t>
  </si>
  <si>
    <t>工作项描述</t>
  </si>
  <si>
    <t>备注</t>
  </si>
  <si>
    <t>工作量
(人天)</t>
  </si>
  <si>
    <t>合计
(人天)</t>
  </si>
  <si>
    <t>任务描述</t>
  </si>
  <si>
    <t>需求</t>
  </si>
  <si>
    <t>源数据管理</t>
  </si>
  <si>
    <t>XXXX</t>
  </si>
  <si>
    <t>1、与BA团队调研沟通，确认布局、展示内容，2、确认数据来源，3、确认功能细项和需求规则</t>
  </si>
  <si>
    <t>规则管理</t>
  </si>
  <si>
    <t>设计</t>
  </si>
  <si>
    <t>XXXX设计</t>
  </si>
  <si>
    <t>开发</t>
  </si>
  <si>
    <t>XXXXXXX开发</t>
  </si>
  <si>
    <t>技术测试</t>
  </si>
  <si>
    <t>XXXXXXX</t>
  </si>
  <si>
    <t>XXXXXXX 技术测试</t>
  </si>
  <si>
    <t>性能测试</t>
  </si>
  <si>
    <t>核对管理</t>
  </si>
  <si>
    <t>XXXXXXXXXX 性能测试</t>
  </si>
  <si>
    <t>上线支持</t>
  </si>
  <si>
    <t>上线准备</t>
  </si>
  <si>
    <t>上线前相关流程准备工作以及文档准备</t>
  </si>
  <si>
    <t>上线前脚本检查以及上线前评审</t>
  </si>
  <si>
    <t>上线材料打包，包括数据库脚本、CTM脚本、调度、映射、上线文档</t>
  </si>
  <si>
    <t>上线实施</t>
  </si>
  <si>
    <t>完成投产的技术验证工作，包括查看服务状态、页面展示、数据同步、数据解析、定时任务处理等</t>
  </si>
  <si>
    <t>上线完成后配合业务进行业务验收，跟进每日业务数据更新是否正常</t>
  </si>
  <si>
    <t>总计（人天）</t>
  </si>
  <si>
    <t>xx</t>
  </si>
  <si>
    <t>总计（人月）</t>
  </si>
  <si>
    <t>xxx</t>
  </si>
  <si>
    <r>
      <rPr>
        <b/>
        <sz val="18"/>
        <rFont val="宋体"/>
        <charset val="134"/>
        <scheme val="minor"/>
      </rPr>
      <t>独立测试（非外包人力）工作量评估（</t>
    </r>
    <r>
      <rPr>
        <b/>
        <sz val="18"/>
        <color rgb="FFFF0000"/>
        <rFont val="宋体"/>
        <charset val="134"/>
        <scheme val="minor"/>
      </rPr>
      <t>仅为科技侧工作量</t>
    </r>
    <r>
      <rPr>
        <b/>
        <sz val="18"/>
        <rFont val="宋体"/>
        <charset val="134"/>
        <scheme val="minor"/>
      </rPr>
      <t>）</t>
    </r>
  </si>
  <si>
    <r>
      <rPr>
        <b/>
        <sz val="12"/>
        <color theme="1"/>
        <rFont val="宋体"/>
        <charset val="134"/>
        <scheme val="minor"/>
      </rPr>
      <t>项目编号</t>
    </r>
    <r>
      <rPr>
        <sz val="12"/>
        <color theme="1"/>
        <rFont val="宋体"/>
        <charset val="134"/>
        <scheme val="minor"/>
      </rPr>
      <t>：</t>
    </r>
  </si>
  <si>
    <r>
      <rPr>
        <b/>
        <sz val="12"/>
        <color theme="1"/>
        <rFont val="宋体"/>
        <charset val="134"/>
        <scheme val="minor"/>
      </rPr>
      <t>项目名称</t>
    </r>
    <r>
      <rPr>
        <sz val="12"/>
        <color theme="1"/>
        <rFont val="宋体"/>
        <charset val="134"/>
        <scheme val="minor"/>
      </rPr>
      <t>：</t>
    </r>
  </si>
  <si>
    <r>
      <rPr>
        <b/>
        <sz val="12"/>
        <color theme="1"/>
        <rFont val="宋体"/>
        <charset val="134"/>
        <scheme val="minor"/>
      </rPr>
      <t>系统名称</t>
    </r>
    <r>
      <rPr>
        <sz val="12"/>
        <color theme="1"/>
        <rFont val="宋体"/>
        <charset val="134"/>
        <scheme val="minor"/>
      </rPr>
      <t>：</t>
    </r>
  </si>
  <si>
    <t>功能测试准备</t>
  </si>
  <si>
    <t>功能测试执行</t>
  </si>
  <si>
    <t>测试完成阶段</t>
  </si>
  <si>
    <t>产品采购评估表</t>
  </si>
  <si>
    <t>序号</t>
  </si>
  <si>
    <t>生产商名称</t>
  </si>
  <si>
    <t>产品名称</t>
  </si>
  <si>
    <t>型号</t>
  </si>
  <si>
    <t>数量</t>
  </si>
  <si>
    <t>单价</t>
  </si>
  <si>
    <t>合计</t>
  </si>
  <si>
    <t>功能描述</t>
  </si>
  <si>
    <t>产品总金额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</si>
</sst>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0.00_);[Red]\(0.00\)"/>
    <numFmt numFmtId="178" formatCode="0.000000_ "/>
    <numFmt numFmtId="179" formatCode="0.00_ "/>
  </numFmts>
  <fonts count="38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1"/>
      <name val="等线"/>
      <charset val="134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37" applyNumberFormat="0" applyAlignment="0" applyProtection="0">
      <alignment vertical="center"/>
    </xf>
    <xf numFmtId="0" fontId="24" fillId="6" borderId="38" applyNumberFormat="0" applyAlignment="0" applyProtection="0">
      <alignment vertical="center"/>
    </xf>
    <xf numFmtId="0" fontId="25" fillId="6" borderId="37" applyNumberFormat="0" applyAlignment="0" applyProtection="0">
      <alignment vertical="center"/>
    </xf>
    <xf numFmtId="0" fontId="26" fillId="7" borderId="39" applyNumberFormat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0">
    <xf numFmtId="0" fontId="0" fillId="0" borderId="0" xfId="0"/>
    <xf numFmtId="0" fontId="0" fillId="0" borderId="0" xfId="0" applyProtection="1">
      <protection locked="0"/>
    </xf>
    <xf numFmtId="0" fontId="1" fillId="0" borderId="1" xfId="33" applyFont="1" applyFill="1" applyBorder="1" applyAlignment="1" applyProtection="1">
      <alignment horizontal="center" vertical="center"/>
      <protection locked="0"/>
    </xf>
    <xf numFmtId="0" fontId="1" fillId="0" borderId="2" xfId="33" applyFont="1" applyFill="1" applyBorder="1" applyAlignment="1" applyProtection="1">
      <alignment horizontal="center" vertical="center"/>
      <protection locked="0"/>
    </xf>
    <xf numFmtId="0" fontId="1" fillId="0" borderId="3" xfId="33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3" fillId="3" borderId="4" xfId="36" applyFont="1" applyFill="1" applyBorder="1" applyAlignment="1" applyProtection="1">
      <alignment horizontal="center" vertical="center"/>
      <protection locked="0"/>
    </xf>
    <xf numFmtId="0" fontId="3" fillId="3" borderId="5" xfId="36" applyFont="1" applyFill="1" applyBorder="1" applyAlignment="1" applyProtection="1">
      <alignment horizontal="center" vertical="center"/>
      <protection locked="0"/>
    </xf>
    <xf numFmtId="0" fontId="3" fillId="3" borderId="5" xfId="36" applyFont="1" applyFill="1" applyBorder="1" applyAlignment="1" applyProtection="1">
      <alignment horizontal="center" vertical="center" wrapText="1"/>
      <protection locked="0"/>
    </xf>
    <xf numFmtId="0" fontId="3" fillId="3" borderId="6" xfId="36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0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ont="1" applyFill="1" applyBorder="1" applyAlignment="1" applyProtection="1">
      <alignment vertical="center" wrapText="1"/>
      <protection locked="0"/>
    </xf>
    <xf numFmtId="0" fontId="0" fillId="2" borderId="5" xfId="0" applyFill="1" applyBorder="1" applyAlignment="1" applyProtection="1">
      <alignment horizontal="left" vertical="center" wrapText="1"/>
      <protection locked="0"/>
    </xf>
    <xf numFmtId="176" fontId="0" fillId="2" borderId="5" xfId="0" applyNumberFormat="1" applyFill="1" applyBorder="1" applyAlignment="1" applyProtection="1">
      <alignment horizontal="left" vertical="center" wrapText="1"/>
      <protection locked="0"/>
    </xf>
    <xf numFmtId="0" fontId="0" fillId="2" borderId="5" xfId="0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left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 wrapText="1"/>
      <protection locked="0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left" vertical="center" wrapText="1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177" fontId="4" fillId="2" borderId="8" xfId="0" applyNumberFormat="1" applyFont="1" applyFill="1" applyBorder="1" applyAlignment="1" applyProtection="1">
      <alignment horizontal="center" vertical="center"/>
      <protection locked="0"/>
    </xf>
    <xf numFmtId="177" fontId="4" fillId="2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1" fillId="0" borderId="1" xfId="37" applyFont="1" applyFill="1" applyBorder="1" applyAlignment="1" applyProtection="1">
      <alignment horizontal="center" vertical="center"/>
      <protection locked="0"/>
    </xf>
    <xf numFmtId="0" fontId="1" fillId="0" borderId="2" xfId="37" applyFont="1" applyFill="1" applyBorder="1" applyAlignment="1" applyProtection="1">
      <alignment horizontal="center" vertical="center"/>
      <protection locked="0"/>
    </xf>
    <xf numFmtId="0" fontId="1" fillId="0" borderId="3" xfId="37" applyFont="1" applyFill="1" applyBorder="1" applyAlignment="1" applyProtection="1">
      <alignment horizontal="center" vertical="center"/>
      <protection locked="0"/>
    </xf>
    <xf numFmtId="0" fontId="2" fillId="2" borderId="10" xfId="49" applyFont="1" applyFill="1" applyBorder="1" applyAlignment="1" applyProtection="1">
      <alignment horizontal="left" vertical="center" wrapText="1"/>
      <protection locked="0"/>
    </xf>
    <xf numFmtId="0" fontId="2" fillId="2" borderId="11" xfId="49" applyFont="1" applyFill="1" applyBorder="1" applyAlignment="1" applyProtection="1">
      <alignment horizontal="left" vertical="center" wrapText="1"/>
      <protection locked="0"/>
    </xf>
    <xf numFmtId="0" fontId="2" fillId="2" borderId="12" xfId="49" applyFont="1" applyFill="1" applyBorder="1" applyAlignment="1" applyProtection="1">
      <alignment horizontal="left" vertical="center" wrapText="1"/>
      <protection locked="0"/>
    </xf>
    <xf numFmtId="0" fontId="2" fillId="2" borderId="13" xfId="49" applyFont="1" applyFill="1" applyBorder="1" applyAlignment="1" applyProtection="1">
      <alignment horizontal="left" vertical="center"/>
      <protection locked="0"/>
    </xf>
    <xf numFmtId="0" fontId="2" fillId="2" borderId="11" xfId="49" applyFont="1" applyFill="1" applyBorder="1" applyAlignment="1" applyProtection="1">
      <alignment horizontal="left" vertical="center"/>
      <protection locked="0"/>
    </xf>
    <xf numFmtId="0" fontId="2" fillId="2" borderId="12" xfId="49" applyFont="1" applyFill="1" applyBorder="1" applyAlignment="1" applyProtection="1">
      <alignment horizontal="left" vertical="center"/>
      <protection locked="0"/>
    </xf>
    <xf numFmtId="0" fontId="2" fillId="2" borderId="5" xfId="49" applyFont="1" applyFill="1" applyBorder="1" applyAlignment="1" applyProtection="1">
      <alignment horizontal="left" vertical="center" wrapText="1"/>
      <protection locked="0"/>
    </xf>
    <xf numFmtId="0" fontId="2" fillId="2" borderId="6" xfId="49" applyFont="1" applyFill="1" applyBorder="1" applyAlignment="1" applyProtection="1">
      <alignment horizontal="left" vertical="center" wrapText="1"/>
      <protection locked="0"/>
    </xf>
    <xf numFmtId="0" fontId="3" fillId="3" borderId="4" xfId="40" applyFont="1" applyFill="1" applyBorder="1" applyAlignment="1" applyProtection="1">
      <alignment horizontal="center" vertical="center"/>
      <protection locked="0"/>
    </xf>
    <xf numFmtId="0" fontId="3" fillId="3" borderId="5" xfId="40" applyFont="1" applyFill="1" applyBorder="1" applyAlignment="1" applyProtection="1">
      <alignment horizontal="center" vertical="center"/>
      <protection locked="0"/>
    </xf>
    <xf numFmtId="0" fontId="3" fillId="3" borderId="5" xfId="40" applyFont="1" applyFill="1" applyBorder="1" applyAlignment="1" applyProtection="1">
      <alignment horizontal="center" vertical="center" wrapText="1"/>
      <protection locked="0"/>
    </xf>
    <xf numFmtId="0" fontId="3" fillId="3" borderId="6" xfId="40" applyFont="1" applyFill="1" applyBorder="1" applyAlignment="1" applyProtection="1">
      <alignment horizontal="center" vertical="center" wrapText="1"/>
      <protection locked="0"/>
    </xf>
    <xf numFmtId="49" fontId="5" fillId="0" borderId="4" xfId="49" applyNumberFormat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78" fontId="0" fillId="0" borderId="6" xfId="49" applyNumberFormat="1" applyFont="1" applyBorder="1" applyAlignment="1">
      <alignment horizontal="center" vertical="center" wrapText="1"/>
    </xf>
    <xf numFmtId="49" fontId="7" fillId="0" borderId="5" xfId="49" applyNumberFormat="1" applyFont="1" applyBorder="1" applyAlignment="1">
      <alignment vertical="center" wrapText="1"/>
    </xf>
    <xf numFmtId="0" fontId="0" fillId="0" borderId="5" xfId="49" applyFont="1" applyBorder="1" applyAlignment="1" applyProtection="1">
      <alignment horizontal="center" vertical="center"/>
      <protection locked="0"/>
    </xf>
    <xf numFmtId="0" fontId="0" fillId="0" borderId="5" xfId="49" applyFont="1" applyBorder="1" applyAlignment="1" applyProtection="1">
      <alignment horizontal="left" vertical="center" wrapText="1"/>
      <protection locked="0"/>
    </xf>
    <xf numFmtId="0" fontId="5" fillId="0" borderId="5" xfId="49" applyFont="1" applyBorder="1" applyAlignment="1">
      <alignment horizontal="left" vertical="center" wrapText="1"/>
    </xf>
    <xf numFmtId="178" fontId="0" fillId="0" borderId="5" xfId="49" applyNumberFormat="1" applyFont="1" applyBorder="1" applyAlignment="1" applyProtection="1">
      <alignment horizontal="center" vertical="center"/>
      <protection locked="0"/>
    </xf>
    <xf numFmtId="0" fontId="0" fillId="0" borderId="5" xfId="49" applyFont="1" applyBorder="1" applyAlignment="1" applyProtection="1">
      <alignment horizontal="center" vertical="center" wrapText="1"/>
      <protection locked="0"/>
    </xf>
    <xf numFmtId="0" fontId="0" fillId="2" borderId="5" xfId="49" applyFont="1" applyFill="1" applyBorder="1" applyAlignment="1" applyProtection="1">
      <alignment horizontal="center" vertical="center" wrapText="1"/>
      <protection locked="0"/>
    </xf>
    <xf numFmtId="178" fontId="0" fillId="2" borderId="5" xfId="49" applyNumberFormat="1" applyFont="1" applyFill="1" applyBorder="1" applyAlignment="1" applyProtection="1">
      <alignment horizontal="center" vertical="center"/>
      <protection locked="0"/>
    </xf>
    <xf numFmtId="0" fontId="4" fillId="2" borderId="4" xfId="49" applyFont="1" applyFill="1" applyBorder="1" applyAlignment="1" applyProtection="1">
      <alignment horizontal="center" vertical="center"/>
      <protection locked="0"/>
    </xf>
    <xf numFmtId="0" fontId="4" fillId="2" borderId="5" xfId="49" applyFont="1" applyFill="1" applyBorder="1" applyAlignment="1" applyProtection="1">
      <alignment horizontal="center" vertical="center"/>
      <protection locked="0"/>
    </xf>
    <xf numFmtId="178" fontId="4" fillId="2" borderId="5" xfId="49" applyNumberFormat="1" applyFont="1" applyFill="1" applyBorder="1" applyAlignment="1" applyProtection="1">
      <alignment horizontal="center" vertical="center"/>
      <protection locked="0"/>
    </xf>
    <xf numFmtId="178" fontId="4" fillId="2" borderId="6" xfId="49" applyNumberFormat="1" applyFont="1" applyFill="1" applyBorder="1" applyAlignment="1" applyProtection="1">
      <alignment horizontal="center" vertical="center"/>
      <protection locked="0"/>
    </xf>
    <xf numFmtId="0" fontId="4" fillId="2" borderId="7" xfId="49" applyFont="1" applyFill="1" applyBorder="1" applyAlignment="1" applyProtection="1">
      <alignment horizontal="center" vertical="center"/>
      <protection locked="0"/>
    </xf>
    <xf numFmtId="0" fontId="4" fillId="2" borderId="8" xfId="49" applyFont="1" applyFill="1" applyBorder="1" applyAlignment="1" applyProtection="1">
      <alignment horizontal="center" vertical="center"/>
      <protection locked="0"/>
    </xf>
    <xf numFmtId="2" fontId="4" fillId="2" borderId="8" xfId="49" applyNumberFormat="1" applyFont="1" applyFill="1" applyBorder="1" applyAlignment="1" applyProtection="1">
      <alignment horizontal="center" vertical="center"/>
      <protection locked="0"/>
    </xf>
    <xf numFmtId="2" fontId="4" fillId="2" borderId="9" xfId="49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1" fillId="0" borderId="1" xfId="25" applyFont="1" applyFill="1" applyBorder="1" applyAlignment="1">
      <alignment horizontal="center" vertical="center"/>
    </xf>
    <xf numFmtId="0" fontId="1" fillId="0" borderId="2" xfId="25" applyFont="1" applyFill="1" applyBorder="1" applyAlignment="1">
      <alignment horizontal="center" vertical="center"/>
    </xf>
    <xf numFmtId="0" fontId="1" fillId="0" borderId="3" xfId="25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6" fillId="0" borderId="0" xfId="0" applyFont="1" applyFill="1" applyAlignment="1"/>
    <xf numFmtId="0" fontId="3" fillId="3" borderId="4" xfId="28" applyFont="1" applyFill="1" applyBorder="1" applyAlignment="1">
      <alignment horizontal="center" vertical="center"/>
    </xf>
    <xf numFmtId="0" fontId="3" fillId="3" borderId="5" xfId="28" applyFont="1" applyFill="1" applyBorder="1" applyAlignment="1">
      <alignment horizontal="center" vertical="center" wrapText="1"/>
    </xf>
    <xf numFmtId="0" fontId="3" fillId="3" borderId="5" xfId="28" applyFont="1" applyFill="1" applyBorder="1" applyAlignment="1">
      <alignment horizontal="center" vertical="center"/>
    </xf>
    <xf numFmtId="0" fontId="3" fillId="3" borderId="6" xfId="28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13" fillId="0" borderId="0" xfId="0" applyFont="1" applyFill="1" applyAlignment="1"/>
    <xf numFmtId="0" fontId="11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/>
    </xf>
    <xf numFmtId="179" fontId="11" fillId="0" borderId="5" xfId="0" applyNumberFormat="1" applyFont="1" applyFill="1" applyBorder="1" applyAlignment="1">
      <alignment horizontal="center" vertical="center" wrapText="1"/>
    </xf>
    <xf numFmtId="179" fontId="11" fillId="0" borderId="6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2" fontId="11" fillId="0" borderId="8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Fill="1" applyBorder="1" applyAlignment="1">
      <alignment horizontal="center" vertical="center" wrapText="1"/>
    </xf>
    <xf numFmtId="0" fontId="1" fillId="0" borderId="23" xfId="29" applyFont="1" applyFill="1" applyBorder="1" applyAlignment="1">
      <alignment horizontal="center" vertical="center"/>
    </xf>
    <xf numFmtId="0" fontId="1" fillId="0" borderId="24" xfId="29" applyFont="1" applyFill="1" applyBorder="1" applyAlignment="1">
      <alignment horizontal="center" vertical="center"/>
    </xf>
    <xf numFmtId="0" fontId="1" fillId="0" borderId="25" xfId="29" applyFont="1" applyFill="1" applyBorder="1" applyAlignment="1">
      <alignment horizontal="center" vertical="center"/>
    </xf>
    <xf numFmtId="0" fontId="14" fillId="0" borderId="26" xfId="24" applyFont="1" applyFill="1" applyBorder="1" applyAlignment="1">
      <alignment horizontal="left" vertical="center" wrapText="1"/>
    </xf>
    <xf numFmtId="0" fontId="14" fillId="0" borderId="27" xfId="24" applyFont="1" applyFill="1" applyBorder="1" applyAlignment="1">
      <alignment horizontal="left" vertical="center" wrapText="1"/>
    </xf>
    <xf numFmtId="0" fontId="14" fillId="0" borderId="28" xfId="24" applyFont="1" applyFill="1" applyBorder="1" applyAlignment="1">
      <alignment horizontal="left" vertical="center" wrapText="1"/>
    </xf>
    <xf numFmtId="0" fontId="14" fillId="0" borderId="29" xfId="24" applyFont="1" applyFill="1" applyBorder="1" applyAlignment="1">
      <alignment horizontal="left" vertical="center" wrapText="1"/>
    </xf>
    <xf numFmtId="0" fontId="14" fillId="0" borderId="0" xfId="24" applyFont="1" applyFill="1" applyAlignment="1">
      <alignment horizontal="left" vertical="center" wrapText="1"/>
    </xf>
    <xf numFmtId="0" fontId="14" fillId="0" borderId="30" xfId="24" applyFont="1" applyFill="1" applyBorder="1" applyAlignment="1">
      <alignment horizontal="left" vertical="center" wrapText="1"/>
    </xf>
    <xf numFmtId="0" fontId="14" fillId="0" borderId="31" xfId="24" applyFont="1" applyFill="1" applyBorder="1" applyAlignment="1">
      <alignment horizontal="left" vertical="center" wrapText="1"/>
    </xf>
    <xf numFmtId="0" fontId="14" fillId="0" borderId="32" xfId="24" applyFont="1" applyFill="1" applyBorder="1" applyAlignment="1">
      <alignment horizontal="left" vertical="center" wrapText="1"/>
    </xf>
    <xf numFmtId="0" fontId="14" fillId="0" borderId="33" xfId="24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宋体"/>
        <a:cs typeface="Arial"/>
      </a:majorFont>
      <a:minorFont>
        <a:latin typeface="Calibri"/>
        <a:ea typeface="宋体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M7"/>
  <sheetViews>
    <sheetView workbookViewId="0">
      <selection activeCell="L15" sqref="L15"/>
    </sheetView>
  </sheetViews>
  <sheetFormatPr defaultColWidth="9" defaultRowHeight="13.5" outlineLevelRow="6"/>
  <cols>
    <col min="1" max="1" width="2.75833333333333" customWidth="1"/>
    <col min="2" max="13" width="11.2583333333333" customWidth="1"/>
  </cols>
  <sheetData>
    <row r="2" ht="30" customHeight="1" spans="2:13">
      <c r="B2" s="108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ht="37.5" customHeight="1" spans="2:13">
      <c r="B3" s="111" t="s">
        <v>1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</row>
    <row r="4" ht="37.5" customHeight="1" spans="2:13">
      <c r="B4" s="114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6"/>
    </row>
    <row r="5" ht="37.5" customHeight="1" spans="2:13">
      <c r="B5" s="117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9"/>
    </row>
    <row r="7" spans="2:13">
      <c r="D7" t="s">
        <v>2</v>
      </c>
    </row>
  </sheetData>
  <mergeCells count="2">
    <mergeCell ref="B2:M2"/>
    <mergeCell ref="B3:M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O62"/>
  <sheetViews>
    <sheetView tabSelected="1" zoomScale="85" zoomScaleNormal="85" topLeftCell="A2" workbookViewId="0">
      <selection activeCell="F10" sqref="F10:K10"/>
    </sheetView>
  </sheetViews>
  <sheetFormatPr defaultColWidth="9" defaultRowHeight="13.5"/>
  <cols>
    <col min="1" max="1" width="9.7" style="66" customWidth="1"/>
    <col min="2" max="2" width="16.875" style="66" customWidth="1"/>
    <col min="3" max="3" width="22.5" style="66" customWidth="1"/>
    <col min="4" max="4" width="12.5" style="66" customWidth="1"/>
    <col min="5" max="5" width="20.3666666666667" style="66" customWidth="1"/>
    <col min="6" max="10" width="9.375" style="66" customWidth="1"/>
    <col min="11" max="11" width="33.0833333333333" style="66" customWidth="1"/>
    <col min="12" max="12" width="18.7583333333333" style="66" customWidth="1"/>
    <col min="13" max="14" width="13.7583333333333" style="66" customWidth="1"/>
    <col min="15" max="15" width="26.9083333333333" style="66" customWidth="1"/>
    <col min="16" max="16" width="25" style="66" customWidth="1"/>
    <col min="17" max="16384" width="9" style="66"/>
  </cols>
  <sheetData>
    <row r="1" hidden="1" customHeight="1" spans="1:15">
      <c r="A1" s="67"/>
      <c r="B1" s="67"/>
      <c r="C1" s="68"/>
      <c r="D1" s="68"/>
      <c r="E1" s="68"/>
      <c r="F1" s="67"/>
      <c r="G1" s="67"/>
      <c r="H1" s="67"/>
      <c r="I1" s="67"/>
      <c r="J1" s="67"/>
      <c r="K1" s="67"/>
      <c r="L1" s="67"/>
      <c r="M1" s="67"/>
      <c r="N1" s="67"/>
    </row>
    <row r="2" ht="30" customHeight="1" spans="1:15">
      <c r="A2" s="67"/>
      <c r="B2" s="69" t="s">
        <v>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ht="30" customHeight="1" spans="1:15">
      <c r="A3" s="67"/>
      <c r="B3" s="72" t="s">
        <v>4</v>
      </c>
      <c r="C3" s="73"/>
      <c r="D3" s="73"/>
      <c r="E3" s="74" t="s">
        <v>5</v>
      </c>
      <c r="F3" s="73"/>
      <c r="G3" s="73"/>
      <c r="H3" s="73"/>
      <c r="I3" s="73"/>
      <c r="J3" s="73"/>
      <c r="K3" s="73"/>
      <c r="L3" s="74" t="s">
        <v>6</v>
      </c>
      <c r="M3" s="73"/>
      <c r="N3" s="73"/>
      <c r="O3" s="75"/>
    </row>
    <row r="4" s="65" customFormat="1" ht="33.75" customHeight="1" spans="1:15">
      <c r="A4" s="76"/>
      <c r="B4" s="77" t="s">
        <v>7</v>
      </c>
      <c r="C4" s="78" t="s">
        <v>8</v>
      </c>
      <c r="D4" s="78" t="s">
        <v>9</v>
      </c>
      <c r="E4" s="78"/>
      <c r="F4" s="79" t="s">
        <v>10</v>
      </c>
      <c r="G4" s="79"/>
      <c r="H4" s="79"/>
      <c r="I4" s="79"/>
      <c r="J4" s="79"/>
      <c r="K4" s="79"/>
      <c r="L4" s="79" t="s">
        <v>11</v>
      </c>
      <c r="M4" s="78" t="s">
        <v>12</v>
      </c>
      <c r="N4" s="78" t="s">
        <v>13</v>
      </c>
      <c r="O4" s="80" t="s">
        <v>14</v>
      </c>
    </row>
    <row r="5" s="65" customFormat="1" ht="30" customHeight="1" spans="1:15">
      <c r="A5" s="76"/>
      <c r="B5" s="81" t="s">
        <v>15</v>
      </c>
      <c r="C5" s="82" t="s">
        <v>16</v>
      </c>
      <c r="D5" s="45" t="s">
        <v>17</v>
      </c>
      <c r="E5" s="45"/>
      <c r="F5" s="83" t="s">
        <v>18</v>
      </c>
      <c r="G5" s="84"/>
      <c r="H5" s="84"/>
      <c r="I5" s="84"/>
      <c r="J5" s="84"/>
      <c r="K5" s="84"/>
      <c r="L5" s="47"/>
      <c r="M5" s="45">
        <v>0.5</v>
      </c>
      <c r="N5" s="85"/>
      <c r="O5" s="85"/>
    </row>
    <row r="6" s="65" customFormat="1" ht="30" customHeight="1" spans="1:15">
      <c r="A6" s="76"/>
      <c r="B6" s="81"/>
      <c r="C6" s="86"/>
      <c r="D6" s="45" t="s">
        <v>17</v>
      </c>
      <c r="E6" s="45"/>
      <c r="F6" s="83" t="s">
        <v>18</v>
      </c>
      <c r="G6" s="84"/>
      <c r="H6" s="84"/>
      <c r="I6" s="84"/>
      <c r="J6" s="84"/>
      <c r="K6" s="84"/>
      <c r="L6" s="47"/>
      <c r="M6" s="45">
        <v>0.5</v>
      </c>
      <c r="N6" s="85"/>
      <c r="O6" s="85"/>
    </row>
    <row r="7" s="65" customFormat="1" ht="30" customHeight="1" spans="1:15">
      <c r="A7" s="76"/>
      <c r="B7" s="81"/>
      <c r="C7" s="86"/>
      <c r="D7" s="45" t="s">
        <v>17</v>
      </c>
      <c r="E7" s="45"/>
      <c r="F7" s="83" t="s">
        <v>18</v>
      </c>
      <c r="G7" s="84"/>
      <c r="H7" s="84"/>
      <c r="I7" s="84"/>
      <c r="J7" s="84"/>
      <c r="K7" s="84"/>
      <c r="L7" s="47"/>
      <c r="M7" s="45">
        <v>0.5</v>
      </c>
      <c r="N7" s="85"/>
      <c r="O7" s="85"/>
    </row>
    <row r="8" s="65" customFormat="1" ht="30" customHeight="1" spans="1:15">
      <c r="A8" s="76"/>
      <c r="B8" s="81"/>
      <c r="C8" s="87"/>
      <c r="D8" s="45" t="s">
        <v>17</v>
      </c>
      <c r="E8" s="45"/>
      <c r="F8" s="83" t="s">
        <v>18</v>
      </c>
      <c r="G8" s="84"/>
      <c r="H8" s="84"/>
      <c r="I8" s="84"/>
      <c r="J8" s="84"/>
      <c r="K8" s="84"/>
      <c r="L8" s="47"/>
      <c r="M8" s="45">
        <v>0.5</v>
      </c>
      <c r="N8" s="85"/>
      <c r="O8" s="85"/>
    </row>
    <row r="9" s="65" customFormat="1" ht="30" customHeight="1" spans="1:15">
      <c r="A9" s="76"/>
      <c r="B9" s="81"/>
      <c r="C9" s="82" t="s">
        <v>19</v>
      </c>
      <c r="D9" s="45" t="s">
        <v>17</v>
      </c>
      <c r="E9" s="45"/>
      <c r="F9" s="83" t="s">
        <v>18</v>
      </c>
      <c r="G9" s="84"/>
      <c r="H9" s="84"/>
      <c r="I9" s="84"/>
      <c r="J9" s="84"/>
      <c r="K9" s="84"/>
      <c r="L9" s="47"/>
      <c r="M9" s="45">
        <v>0.5</v>
      </c>
      <c r="N9" s="85"/>
      <c r="O9" s="85"/>
    </row>
    <row r="10" s="65" customFormat="1" ht="30" customHeight="1" spans="1:15">
      <c r="A10" s="76"/>
      <c r="B10" s="81"/>
      <c r="C10" s="86"/>
      <c r="D10" s="45" t="s">
        <v>17</v>
      </c>
      <c r="E10" s="45"/>
      <c r="F10" s="83" t="s">
        <v>18</v>
      </c>
      <c r="G10" s="84"/>
      <c r="H10" s="84"/>
      <c r="I10" s="84"/>
      <c r="J10" s="84"/>
      <c r="K10" s="84"/>
      <c r="L10" s="47"/>
      <c r="M10" s="45">
        <v>0.5</v>
      </c>
      <c r="N10" s="85"/>
      <c r="O10" s="85"/>
    </row>
    <row r="11" s="65" customFormat="1" ht="30" customHeight="1" spans="1:15">
      <c r="A11" s="76"/>
      <c r="B11" s="81"/>
      <c r="C11" s="87"/>
      <c r="D11" s="45" t="s">
        <v>17</v>
      </c>
      <c r="E11" s="45"/>
      <c r="F11" s="83" t="s">
        <v>18</v>
      </c>
      <c r="G11" s="84"/>
      <c r="H11" s="84"/>
      <c r="I11" s="84"/>
      <c r="J11" s="84"/>
      <c r="K11" s="84"/>
      <c r="L11" s="47"/>
      <c r="M11" s="45">
        <v>0.5</v>
      </c>
      <c r="N11" s="85"/>
      <c r="O11" s="85"/>
    </row>
    <row r="12" s="65" customFormat="1" ht="18.75" customHeight="1" spans="1:15">
      <c r="A12" s="76"/>
      <c r="B12" s="88" t="s">
        <v>20</v>
      </c>
      <c r="C12" s="82" t="s">
        <v>19</v>
      </c>
      <c r="D12" s="89" t="s">
        <v>17</v>
      </c>
      <c r="E12" s="90"/>
      <c r="F12" s="91" t="s">
        <v>21</v>
      </c>
      <c r="G12" s="92"/>
      <c r="H12" s="92"/>
      <c r="I12" s="92"/>
      <c r="J12" s="92"/>
      <c r="K12" s="93"/>
      <c r="L12" s="47"/>
      <c r="M12" s="45">
        <v>0.5</v>
      </c>
      <c r="N12" s="85"/>
      <c r="O12" s="85"/>
    </row>
    <row r="13" s="65" customFormat="1" ht="18.75" customHeight="1" spans="1:15">
      <c r="A13" s="76"/>
      <c r="B13" s="88"/>
      <c r="C13" s="86"/>
      <c r="D13" s="94"/>
      <c r="E13" s="95"/>
      <c r="F13" s="91" t="s">
        <v>21</v>
      </c>
      <c r="G13" s="92"/>
      <c r="H13" s="92"/>
      <c r="I13" s="92"/>
      <c r="J13" s="92"/>
      <c r="K13" s="93"/>
      <c r="L13" s="47"/>
      <c r="M13" s="45">
        <v>0.5</v>
      </c>
      <c r="N13" s="85"/>
      <c r="O13" s="85"/>
    </row>
    <row r="14" s="65" customFormat="1" ht="18.75" customHeight="1" spans="1:15">
      <c r="A14" s="76"/>
      <c r="B14" s="88"/>
      <c r="C14" s="86"/>
      <c r="D14" s="94"/>
      <c r="E14" s="95"/>
      <c r="F14" s="91" t="s">
        <v>21</v>
      </c>
      <c r="G14" s="92"/>
      <c r="H14" s="92"/>
      <c r="I14" s="92"/>
      <c r="J14" s="92"/>
      <c r="K14" s="93"/>
      <c r="L14" s="47"/>
      <c r="M14" s="45">
        <v>0.5</v>
      </c>
      <c r="N14" s="85"/>
      <c r="O14" s="85"/>
    </row>
    <row r="15" s="65" customFormat="1" ht="18.75" customHeight="1" spans="1:15">
      <c r="A15" s="76"/>
      <c r="B15" s="88"/>
      <c r="C15" s="86"/>
      <c r="D15" s="96"/>
      <c r="E15" s="97"/>
      <c r="F15" s="91" t="s">
        <v>21</v>
      </c>
      <c r="G15" s="92"/>
      <c r="H15" s="92"/>
      <c r="I15" s="92"/>
      <c r="J15" s="92"/>
      <c r="K15" s="93"/>
      <c r="L15" s="47"/>
      <c r="M15" s="45">
        <v>0.5</v>
      </c>
      <c r="N15" s="85"/>
      <c r="O15" s="85"/>
    </row>
    <row r="16" s="65" customFormat="1" ht="18.75" customHeight="1" spans="1:15">
      <c r="A16" s="76"/>
      <c r="B16" s="88"/>
      <c r="C16" s="86"/>
      <c r="D16" s="89" t="s">
        <v>17</v>
      </c>
      <c r="E16" s="90"/>
      <c r="F16" s="91" t="s">
        <v>21</v>
      </c>
      <c r="G16" s="92"/>
      <c r="H16" s="92"/>
      <c r="I16" s="92"/>
      <c r="J16" s="92"/>
      <c r="K16" s="93"/>
      <c r="L16" s="47"/>
      <c r="M16" s="45">
        <v>0.5</v>
      </c>
      <c r="N16" s="85"/>
      <c r="O16" s="85"/>
    </row>
    <row r="17" s="65" customFormat="1" ht="18.75" customHeight="1" spans="1:15">
      <c r="A17" s="76"/>
      <c r="B17" s="88"/>
      <c r="C17" s="86"/>
      <c r="D17" s="94"/>
      <c r="E17" s="95"/>
      <c r="F17" s="91" t="s">
        <v>21</v>
      </c>
      <c r="G17" s="92"/>
      <c r="H17" s="92"/>
      <c r="I17" s="92"/>
      <c r="J17" s="92"/>
      <c r="K17" s="93"/>
      <c r="L17" s="47"/>
      <c r="M17" s="45">
        <v>0.5</v>
      </c>
      <c r="N17" s="85"/>
      <c r="O17" s="85"/>
    </row>
    <row r="18" s="65" customFormat="1" ht="18.75" customHeight="1" spans="1:15">
      <c r="A18" s="76"/>
      <c r="B18" s="88"/>
      <c r="C18" s="86"/>
      <c r="D18" s="94"/>
      <c r="E18" s="95"/>
      <c r="F18" s="91" t="s">
        <v>21</v>
      </c>
      <c r="G18" s="92"/>
      <c r="H18" s="92"/>
      <c r="I18" s="92"/>
      <c r="J18" s="92"/>
      <c r="K18" s="93"/>
      <c r="L18" s="47"/>
      <c r="M18" s="45">
        <v>0.5</v>
      </c>
      <c r="N18" s="85"/>
      <c r="O18" s="85"/>
    </row>
    <row r="19" s="65" customFormat="1" ht="18.75" customHeight="1" spans="1:15">
      <c r="A19" s="76"/>
      <c r="B19" s="88"/>
      <c r="C19" s="86"/>
      <c r="D19" s="96"/>
      <c r="E19" s="97"/>
      <c r="F19" s="91" t="s">
        <v>21</v>
      </c>
      <c r="G19" s="92"/>
      <c r="H19" s="92"/>
      <c r="I19" s="92"/>
      <c r="J19" s="92"/>
      <c r="K19" s="93"/>
      <c r="L19" s="47"/>
      <c r="M19" s="45">
        <v>0.5</v>
      </c>
      <c r="N19" s="85"/>
      <c r="O19" s="85"/>
    </row>
    <row r="20" s="65" customFormat="1" ht="18.75" customHeight="1" spans="1:15">
      <c r="A20" s="76"/>
      <c r="B20" s="88"/>
      <c r="C20" s="86"/>
      <c r="D20" s="89" t="s">
        <v>17</v>
      </c>
      <c r="E20" s="90"/>
      <c r="F20" s="91" t="s">
        <v>21</v>
      </c>
      <c r="G20" s="92"/>
      <c r="H20" s="92"/>
      <c r="I20" s="92"/>
      <c r="J20" s="92"/>
      <c r="K20" s="93"/>
      <c r="L20" s="47"/>
      <c r="M20" s="45">
        <v>0.5</v>
      </c>
      <c r="N20" s="85"/>
      <c r="O20" s="85"/>
    </row>
    <row r="21" s="65" customFormat="1" ht="18.75" customHeight="1" spans="1:15">
      <c r="A21" s="76"/>
      <c r="B21" s="88"/>
      <c r="C21" s="86"/>
      <c r="D21" s="94"/>
      <c r="E21" s="95"/>
      <c r="F21" s="91" t="s">
        <v>21</v>
      </c>
      <c r="G21" s="92"/>
      <c r="H21" s="92"/>
      <c r="I21" s="92"/>
      <c r="J21" s="92"/>
      <c r="K21" s="93"/>
      <c r="L21" s="47"/>
      <c r="M21" s="45">
        <v>0.5</v>
      </c>
      <c r="N21" s="85"/>
      <c r="O21" s="85"/>
    </row>
    <row r="22" s="65" customFormat="1" ht="18.75" customHeight="1" spans="1:15">
      <c r="A22" s="76"/>
      <c r="B22" s="88"/>
      <c r="C22" s="86"/>
      <c r="D22" s="94"/>
      <c r="E22" s="95"/>
      <c r="F22" s="91" t="s">
        <v>21</v>
      </c>
      <c r="G22" s="92"/>
      <c r="H22" s="92"/>
      <c r="I22" s="92"/>
      <c r="J22" s="92"/>
      <c r="K22" s="93"/>
      <c r="L22" s="47"/>
      <c r="M22" s="45">
        <v>0.5</v>
      </c>
      <c r="N22" s="85"/>
      <c r="O22" s="85"/>
    </row>
    <row r="23" s="65" customFormat="1" ht="18.75" customHeight="1" spans="1:15">
      <c r="A23" s="76"/>
      <c r="B23" s="88"/>
      <c r="C23" s="87"/>
      <c r="D23" s="96"/>
      <c r="E23" s="97"/>
      <c r="F23" s="91" t="s">
        <v>21</v>
      </c>
      <c r="G23" s="92"/>
      <c r="H23" s="92"/>
      <c r="I23" s="92"/>
      <c r="J23" s="92"/>
      <c r="K23" s="93"/>
      <c r="L23" s="47"/>
      <c r="M23" s="45">
        <v>0.5</v>
      </c>
      <c r="N23" s="85"/>
      <c r="O23" s="85"/>
    </row>
    <row r="24" s="65" customFormat="1" ht="18.75" customHeight="1" spans="1:15">
      <c r="A24" s="98"/>
      <c r="B24" s="88" t="s">
        <v>22</v>
      </c>
      <c r="C24" s="45" t="s">
        <v>19</v>
      </c>
      <c r="D24" s="89" t="s">
        <v>17</v>
      </c>
      <c r="E24" s="90"/>
      <c r="F24" s="91" t="s">
        <v>23</v>
      </c>
      <c r="G24" s="92"/>
      <c r="H24" s="92"/>
      <c r="I24" s="92"/>
      <c r="J24" s="92"/>
      <c r="K24" s="93"/>
      <c r="L24" s="47"/>
      <c r="M24" s="45">
        <v>2.5</v>
      </c>
      <c r="N24" s="85"/>
      <c r="O24" s="85"/>
    </row>
    <row r="25" s="65" customFormat="1" ht="18.75" customHeight="1" spans="1:15">
      <c r="A25" s="98"/>
      <c r="B25" s="88"/>
      <c r="C25" s="45"/>
      <c r="D25" s="94"/>
      <c r="E25" s="95"/>
      <c r="F25" s="91" t="s">
        <v>23</v>
      </c>
      <c r="G25" s="92"/>
      <c r="H25" s="92"/>
      <c r="I25" s="92"/>
      <c r="J25" s="92"/>
      <c r="K25" s="93"/>
      <c r="L25" s="47"/>
      <c r="M25" s="45">
        <v>1.5</v>
      </c>
      <c r="N25" s="85"/>
      <c r="O25" s="85"/>
    </row>
    <row r="26" s="65" customFormat="1" ht="18.75" customHeight="1" spans="1:15">
      <c r="A26" s="98"/>
      <c r="B26" s="88"/>
      <c r="C26" s="45"/>
      <c r="D26" s="94"/>
      <c r="E26" s="95"/>
      <c r="F26" s="91" t="s">
        <v>23</v>
      </c>
      <c r="G26" s="92"/>
      <c r="H26" s="92"/>
      <c r="I26" s="92"/>
      <c r="J26" s="92"/>
      <c r="K26" s="93"/>
      <c r="L26" s="47"/>
      <c r="M26" s="45">
        <v>1</v>
      </c>
      <c r="N26" s="85"/>
      <c r="O26" s="85"/>
    </row>
    <row r="27" s="65" customFormat="1" ht="18.75" customHeight="1" spans="1:15">
      <c r="A27" s="98"/>
      <c r="B27" s="88"/>
      <c r="C27" s="45"/>
      <c r="D27" s="89" t="s">
        <v>17</v>
      </c>
      <c r="E27" s="90"/>
      <c r="F27" s="91" t="s">
        <v>23</v>
      </c>
      <c r="G27" s="92"/>
      <c r="H27" s="92"/>
      <c r="I27" s="92"/>
      <c r="J27" s="92"/>
      <c r="K27" s="93"/>
      <c r="L27" s="47"/>
      <c r="M27" s="45">
        <v>2.5</v>
      </c>
      <c r="N27" s="85"/>
      <c r="O27" s="85"/>
    </row>
    <row r="28" s="65" customFormat="1" ht="18.75" customHeight="1" spans="1:15">
      <c r="A28" s="98"/>
      <c r="B28" s="88"/>
      <c r="C28" s="45"/>
      <c r="D28" s="94"/>
      <c r="E28" s="95"/>
      <c r="F28" s="91" t="s">
        <v>23</v>
      </c>
      <c r="G28" s="92"/>
      <c r="H28" s="92"/>
      <c r="I28" s="92"/>
      <c r="J28" s="92"/>
      <c r="K28" s="93"/>
      <c r="L28" s="47"/>
      <c r="M28" s="45">
        <v>1</v>
      </c>
      <c r="N28" s="85"/>
      <c r="O28" s="85"/>
    </row>
    <row r="29" s="65" customFormat="1" ht="18.75" customHeight="1" spans="1:15">
      <c r="A29" s="98"/>
      <c r="B29" s="88"/>
      <c r="C29" s="45"/>
      <c r="D29" s="94"/>
      <c r="E29" s="95"/>
      <c r="F29" s="91" t="s">
        <v>23</v>
      </c>
      <c r="G29" s="92"/>
      <c r="H29" s="92"/>
      <c r="I29" s="92"/>
      <c r="J29" s="92"/>
      <c r="K29" s="93"/>
      <c r="L29" s="47"/>
      <c r="M29" s="45">
        <v>1.5</v>
      </c>
      <c r="N29" s="85"/>
      <c r="O29" s="85"/>
    </row>
    <row r="30" s="65" customFormat="1" ht="18.75" customHeight="1" spans="1:15">
      <c r="A30" s="98"/>
      <c r="B30" s="88"/>
      <c r="C30" s="45"/>
      <c r="D30" s="89" t="s">
        <v>17</v>
      </c>
      <c r="E30" s="90"/>
      <c r="F30" s="91" t="s">
        <v>23</v>
      </c>
      <c r="G30" s="92"/>
      <c r="H30" s="92"/>
      <c r="I30" s="92"/>
      <c r="J30" s="92"/>
      <c r="K30" s="93"/>
      <c r="L30" s="47"/>
      <c r="M30" s="45">
        <v>2.5</v>
      </c>
      <c r="N30" s="85"/>
      <c r="O30" s="85"/>
    </row>
    <row r="31" s="65" customFormat="1" ht="18.75" customHeight="1" spans="1:15">
      <c r="A31" s="98"/>
      <c r="B31" s="88"/>
      <c r="C31" s="45"/>
      <c r="D31" s="94"/>
      <c r="E31" s="95"/>
      <c r="F31" s="91" t="s">
        <v>23</v>
      </c>
      <c r="G31" s="92"/>
      <c r="H31" s="92"/>
      <c r="I31" s="92"/>
      <c r="J31" s="92"/>
      <c r="K31" s="93"/>
      <c r="L31" s="47"/>
      <c r="M31" s="45">
        <v>1</v>
      </c>
      <c r="N31" s="85"/>
      <c r="O31" s="85"/>
    </row>
    <row r="32" s="65" customFormat="1" ht="18.75" customHeight="1" spans="1:15">
      <c r="A32" s="98"/>
      <c r="B32" s="88"/>
      <c r="C32" s="45"/>
      <c r="D32" s="94"/>
      <c r="E32" s="95"/>
      <c r="F32" s="91" t="s">
        <v>23</v>
      </c>
      <c r="G32" s="92"/>
      <c r="H32" s="92"/>
      <c r="I32" s="92"/>
      <c r="J32" s="92"/>
      <c r="K32" s="93"/>
      <c r="L32" s="47"/>
      <c r="M32" s="45">
        <v>1.5</v>
      </c>
      <c r="N32" s="85"/>
      <c r="O32" s="85"/>
    </row>
    <row r="33" s="65" customFormat="1" ht="18.75" customHeight="1" spans="1:15">
      <c r="A33" s="98"/>
      <c r="B33" s="88" t="s">
        <v>24</v>
      </c>
      <c r="C33" s="82" t="s">
        <v>16</v>
      </c>
      <c r="D33" s="89" t="s">
        <v>25</v>
      </c>
      <c r="E33" s="90"/>
      <c r="F33" s="91" t="s">
        <v>26</v>
      </c>
      <c r="G33" s="92"/>
      <c r="H33" s="92"/>
      <c r="I33" s="92"/>
      <c r="J33" s="92"/>
      <c r="K33" s="93"/>
      <c r="L33" s="47"/>
      <c r="M33" s="82">
        <v>5</v>
      </c>
      <c r="N33" s="85"/>
      <c r="O33" s="85"/>
    </row>
    <row r="34" s="65" customFormat="1" ht="18.75" customHeight="1" spans="1:15">
      <c r="A34" s="76"/>
      <c r="B34" s="88"/>
      <c r="C34" s="86"/>
      <c r="D34" s="94"/>
      <c r="E34" s="95"/>
      <c r="F34" s="91" t="s">
        <v>26</v>
      </c>
      <c r="G34" s="92"/>
      <c r="H34" s="92"/>
      <c r="I34" s="92"/>
      <c r="J34" s="92"/>
      <c r="K34" s="93"/>
      <c r="L34" s="47"/>
      <c r="M34" s="86"/>
      <c r="N34" s="85"/>
      <c r="O34" s="85"/>
    </row>
    <row r="35" s="65" customFormat="1" ht="18.75" customHeight="1" spans="1:15">
      <c r="A35" s="76"/>
      <c r="B35" s="88"/>
      <c r="C35" s="86"/>
      <c r="D35" s="96"/>
      <c r="E35" s="97"/>
      <c r="F35" s="91" t="s">
        <v>26</v>
      </c>
      <c r="G35" s="92"/>
      <c r="H35" s="92"/>
      <c r="I35" s="92"/>
      <c r="J35" s="92"/>
      <c r="K35" s="93"/>
      <c r="L35" s="47"/>
      <c r="M35" s="87"/>
      <c r="N35" s="85"/>
      <c r="O35" s="85"/>
    </row>
    <row r="36" s="65" customFormat="1" ht="18.75" customHeight="1" spans="1:15">
      <c r="A36" s="76"/>
      <c r="B36" s="88"/>
      <c r="C36" s="86"/>
      <c r="D36" s="89" t="s">
        <v>25</v>
      </c>
      <c r="E36" s="90"/>
      <c r="F36" s="91" t="s">
        <v>26</v>
      </c>
      <c r="G36" s="92"/>
      <c r="H36" s="92"/>
      <c r="I36" s="92"/>
      <c r="J36" s="92"/>
      <c r="K36" s="93"/>
      <c r="L36" s="47"/>
      <c r="M36" s="82">
        <v>5</v>
      </c>
      <c r="N36" s="85"/>
      <c r="O36" s="85"/>
    </row>
    <row r="37" s="65" customFormat="1" ht="18.75" customHeight="1" spans="1:15">
      <c r="A37" s="76"/>
      <c r="B37" s="88"/>
      <c r="C37" s="86"/>
      <c r="D37" s="94"/>
      <c r="E37" s="95"/>
      <c r="F37" s="91" t="s">
        <v>26</v>
      </c>
      <c r="G37" s="92"/>
      <c r="H37" s="92"/>
      <c r="I37" s="92"/>
      <c r="J37" s="92"/>
      <c r="K37" s="93"/>
      <c r="L37" s="47"/>
      <c r="M37" s="86"/>
      <c r="N37" s="85"/>
      <c r="O37" s="85"/>
    </row>
    <row r="38" s="65" customFormat="1" ht="18.75" customHeight="1" spans="1:15">
      <c r="A38" s="76"/>
      <c r="B38" s="88"/>
      <c r="C38" s="86"/>
      <c r="D38" s="96"/>
      <c r="E38" s="97"/>
      <c r="F38" s="91" t="s">
        <v>26</v>
      </c>
      <c r="G38" s="92"/>
      <c r="H38" s="92"/>
      <c r="I38" s="92"/>
      <c r="J38" s="92"/>
      <c r="K38" s="93"/>
      <c r="L38" s="47"/>
      <c r="M38" s="87"/>
      <c r="N38" s="85"/>
      <c r="O38" s="85"/>
    </row>
    <row r="39" s="65" customFormat="1" ht="18.75" customHeight="1" spans="1:15">
      <c r="A39" s="76"/>
      <c r="B39" s="88"/>
      <c r="C39" s="86"/>
      <c r="D39" s="89" t="s">
        <v>25</v>
      </c>
      <c r="E39" s="90"/>
      <c r="F39" s="91" t="s">
        <v>26</v>
      </c>
      <c r="G39" s="92"/>
      <c r="H39" s="92"/>
      <c r="I39" s="92"/>
      <c r="J39" s="92"/>
      <c r="K39" s="93"/>
      <c r="L39" s="47"/>
      <c r="M39" s="82">
        <v>5</v>
      </c>
      <c r="N39" s="85"/>
      <c r="O39" s="85"/>
    </row>
    <row r="40" s="65" customFormat="1" ht="18.75" customHeight="1" spans="1:15">
      <c r="A40" s="76"/>
      <c r="B40" s="88"/>
      <c r="C40" s="86"/>
      <c r="D40" s="94"/>
      <c r="E40" s="95"/>
      <c r="F40" s="91" t="s">
        <v>26</v>
      </c>
      <c r="G40" s="92"/>
      <c r="H40" s="92"/>
      <c r="I40" s="92"/>
      <c r="J40" s="92"/>
      <c r="K40" s="93"/>
      <c r="L40" s="47"/>
      <c r="M40" s="86"/>
      <c r="N40" s="85"/>
      <c r="O40" s="85"/>
    </row>
    <row r="41" s="65" customFormat="1" ht="18.75" customHeight="1" spans="1:15">
      <c r="A41" s="76"/>
      <c r="B41" s="88"/>
      <c r="C41" s="86"/>
      <c r="D41" s="96"/>
      <c r="E41" s="97"/>
      <c r="F41" s="91" t="s">
        <v>26</v>
      </c>
      <c r="G41" s="92"/>
      <c r="H41" s="92"/>
      <c r="I41" s="92"/>
      <c r="J41" s="92"/>
      <c r="K41" s="93"/>
      <c r="L41" s="47"/>
      <c r="M41" s="87"/>
      <c r="N41" s="85"/>
      <c r="O41" s="85"/>
    </row>
    <row r="42" s="65" customFormat="1" ht="18.75" customHeight="1" spans="1:15">
      <c r="A42" s="76"/>
      <c r="B42" s="88"/>
      <c r="C42" s="86"/>
      <c r="D42" s="89" t="s">
        <v>25</v>
      </c>
      <c r="E42" s="90"/>
      <c r="F42" s="91" t="s">
        <v>26</v>
      </c>
      <c r="G42" s="92"/>
      <c r="H42" s="92"/>
      <c r="I42" s="92"/>
      <c r="J42" s="92"/>
      <c r="K42" s="93"/>
      <c r="L42" s="47"/>
      <c r="M42" s="82">
        <v>4</v>
      </c>
      <c r="N42" s="85"/>
      <c r="O42" s="85"/>
    </row>
    <row r="43" s="65" customFormat="1" ht="18.75" customHeight="1" spans="1:15">
      <c r="A43" s="76"/>
      <c r="B43" s="88"/>
      <c r="C43" s="86"/>
      <c r="D43" s="96"/>
      <c r="E43" s="97"/>
      <c r="F43" s="91" t="s">
        <v>26</v>
      </c>
      <c r="G43" s="92"/>
      <c r="H43" s="92"/>
      <c r="I43" s="92"/>
      <c r="J43" s="92"/>
      <c r="K43" s="93"/>
      <c r="L43" s="47"/>
      <c r="M43" s="87"/>
      <c r="N43" s="85"/>
      <c r="O43" s="85"/>
    </row>
    <row r="44" s="65" customFormat="1" ht="18.75" customHeight="1" spans="1:15">
      <c r="A44" s="76"/>
      <c r="B44" s="88"/>
      <c r="C44" s="86"/>
      <c r="D44" s="89" t="s">
        <v>25</v>
      </c>
      <c r="E44" s="90"/>
      <c r="F44" s="91" t="s">
        <v>26</v>
      </c>
      <c r="G44" s="92"/>
      <c r="H44" s="92"/>
      <c r="I44" s="92"/>
      <c r="J44" s="92"/>
      <c r="K44" s="93"/>
      <c r="L44" s="47"/>
      <c r="M44" s="82">
        <v>4</v>
      </c>
      <c r="N44" s="85"/>
      <c r="O44" s="85"/>
    </row>
    <row r="45" s="65" customFormat="1" ht="18.75" customHeight="1" spans="1:15">
      <c r="A45" s="76"/>
      <c r="B45" s="88"/>
      <c r="C45" s="86"/>
      <c r="D45" s="96"/>
      <c r="E45" s="97"/>
      <c r="F45" s="91" t="s">
        <v>26</v>
      </c>
      <c r="G45" s="92"/>
      <c r="H45" s="92"/>
      <c r="I45" s="92"/>
      <c r="J45" s="92"/>
      <c r="K45" s="93"/>
      <c r="L45" s="47"/>
      <c r="M45" s="87"/>
      <c r="N45" s="85"/>
      <c r="O45" s="85"/>
    </row>
    <row r="46" s="65" customFormat="1" ht="18.75" customHeight="1" spans="1:15">
      <c r="A46" s="76"/>
      <c r="B46" s="99" t="s">
        <v>27</v>
      </c>
      <c r="C46" s="82" t="s">
        <v>28</v>
      </c>
      <c r="D46" s="89" t="s">
        <v>25</v>
      </c>
      <c r="E46" s="90"/>
      <c r="F46" s="91" t="s">
        <v>29</v>
      </c>
      <c r="G46" s="92"/>
      <c r="H46" s="92"/>
      <c r="I46" s="92"/>
      <c r="J46" s="92"/>
      <c r="K46" s="93"/>
      <c r="L46" s="47"/>
      <c r="M46" s="45">
        <v>2</v>
      </c>
      <c r="N46" s="85"/>
      <c r="O46" s="85"/>
    </row>
    <row r="47" s="65" customFormat="1" ht="18.75" customHeight="1" spans="1:15">
      <c r="A47" s="76"/>
      <c r="B47" s="99"/>
      <c r="C47" s="86"/>
      <c r="D47" s="94"/>
      <c r="E47" s="95"/>
      <c r="F47" s="91" t="s">
        <v>29</v>
      </c>
      <c r="G47" s="92"/>
      <c r="H47" s="92"/>
      <c r="I47" s="92"/>
      <c r="J47" s="92"/>
      <c r="K47" s="93"/>
      <c r="L47" s="47"/>
      <c r="M47" s="45">
        <v>2</v>
      </c>
      <c r="N47" s="85"/>
      <c r="O47" s="85"/>
    </row>
    <row r="48" s="65" customFormat="1" ht="18.75" customHeight="1" spans="1:15">
      <c r="A48" s="76"/>
      <c r="B48" s="99"/>
      <c r="C48" s="86"/>
      <c r="D48" s="94"/>
      <c r="E48" s="95"/>
      <c r="F48" s="91" t="s">
        <v>29</v>
      </c>
      <c r="G48" s="92"/>
      <c r="H48" s="92"/>
      <c r="I48" s="92"/>
      <c r="J48" s="92"/>
      <c r="K48" s="93"/>
      <c r="L48" s="47"/>
      <c r="M48" s="45">
        <v>2</v>
      </c>
      <c r="N48" s="85"/>
      <c r="O48" s="85"/>
    </row>
    <row r="49" s="65" customFormat="1" ht="18.75" customHeight="1" spans="1:15">
      <c r="A49" s="76"/>
      <c r="B49" s="99"/>
      <c r="C49" s="86"/>
      <c r="D49" s="96"/>
      <c r="E49" s="97"/>
      <c r="F49" s="91" t="s">
        <v>29</v>
      </c>
      <c r="G49" s="92"/>
      <c r="H49" s="92"/>
      <c r="I49" s="92"/>
      <c r="J49" s="92"/>
      <c r="K49" s="93"/>
      <c r="L49" s="47"/>
      <c r="M49" s="45">
        <v>2</v>
      </c>
      <c r="N49" s="85"/>
      <c r="O49" s="85"/>
    </row>
    <row r="50" s="65" customFormat="1" ht="18.75" customHeight="1" spans="1:15">
      <c r="A50" s="76"/>
      <c r="B50" s="99"/>
      <c r="C50" s="86"/>
      <c r="D50" s="89" t="s">
        <v>25</v>
      </c>
      <c r="E50" s="90"/>
      <c r="F50" s="91" t="s">
        <v>29</v>
      </c>
      <c r="G50" s="92"/>
      <c r="H50" s="92"/>
      <c r="I50" s="92"/>
      <c r="J50" s="92"/>
      <c r="K50" s="93"/>
      <c r="L50" s="47"/>
      <c r="M50" s="45">
        <v>2</v>
      </c>
      <c r="N50" s="85"/>
      <c r="O50" s="85"/>
    </row>
    <row r="51" s="65" customFormat="1" ht="18.75" customHeight="1" spans="1:15">
      <c r="A51" s="76"/>
      <c r="B51" s="99"/>
      <c r="C51" s="86"/>
      <c r="D51" s="94"/>
      <c r="E51" s="95"/>
      <c r="F51" s="91" t="s">
        <v>29</v>
      </c>
      <c r="G51" s="92"/>
      <c r="H51" s="92"/>
      <c r="I51" s="92"/>
      <c r="J51" s="92"/>
      <c r="K51" s="93"/>
      <c r="L51" s="47"/>
      <c r="M51" s="45">
        <v>2</v>
      </c>
      <c r="N51" s="85"/>
      <c r="O51" s="85"/>
    </row>
    <row r="52" s="65" customFormat="1" ht="18.75" customHeight="1" spans="1:15">
      <c r="A52" s="76"/>
      <c r="B52" s="99"/>
      <c r="C52" s="86"/>
      <c r="D52" s="96"/>
      <c r="E52" s="97"/>
      <c r="F52" s="91" t="s">
        <v>29</v>
      </c>
      <c r="G52" s="92"/>
      <c r="H52" s="92"/>
      <c r="I52" s="92"/>
      <c r="J52" s="92"/>
      <c r="K52" s="93"/>
      <c r="L52" s="47"/>
      <c r="M52" s="45">
        <v>2</v>
      </c>
      <c r="N52" s="85"/>
      <c r="O52" s="85"/>
    </row>
    <row r="53" s="65" customFormat="1" ht="18.75" customHeight="1" spans="1:15">
      <c r="A53" s="76"/>
      <c r="B53" s="99"/>
      <c r="C53" s="86"/>
      <c r="D53" s="89" t="s">
        <v>25</v>
      </c>
      <c r="E53" s="90"/>
      <c r="F53" s="91" t="s">
        <v>29</v>
      </c>
      <c r="G53" s="92"/>
      <c r="H53" s="92"/>
      <c r="I53" s="92"/>
      <c r="J53" s="92"/>
      <c r="K53" s="93"/>
      <c r="L53" s="47"/>
      <c r="M53" s="45">
        <v>2</v>
      </c>
      <c r="N53" s="85"/>
      <c r="O53" s="85"/>
    </row>
    <row r="54" s="65" customFormat="1" ht="18.75" customHeight="1" spans="1:15">
      <c r="A54" s="76"/>
      <c r="B54" s="99"/>
      <c r="C54" s="86"/>
      <c r="D54" s="94"/>
      <c r="E54" s="95"/>
      <c r="F54" s="91" t="s">
        <v>29</v>
      </c>
      <c r="G54" s="92"/>
      <c r="H54" s="92"/>
      <c r="I54" s="92"/>
      <c r="J54" s="92"/>
      <c r="K54" s="93"/>
      <c r="L54" s="47"/>
      <c r="M54" s="45">
        <v>2</v>
      </c>
      <c r="N54" s="85"/>
      <c r="O54" s="85"/>
    </row>
    <row r="55" s="65" customFormat="1" ht="18.75" customHeight="1" spans="1:15">
      <c r="A55" s="76"/>
      <c r="B55" s="99"/>
      <c r="C55" s="87"/>
      <c r="D55" s="96"/>
      <c r="E55" s="97"/>
      <c r="F55" s="91" t="s">
        <v>29</v>
      </c>
      <c r="G55" s="92"/>
      <c r="H55" s="92"/>
      <c r="I55" s="92"/>
      <c r="J55" s="92"/>
      <c r="K55" s="93"/>
      <c r="L55" s="47"/>
      <c r="M55" s="45">
        <v>2</v>
      </c>
      <c r="N55" s="85"/>
      <c r="O55" s="85"/>
    </row>
    <row r="56" s="65" customFormat="1" ht="18.75" customHeight="1" spans="1:15">
      <c r="A56" s="76"/>
      <c r="B56" s="88" t="s">
        <v>30</v>
      </c>
      <c r="C56" s="82" t="s">
        <v>30</v>
      </c>
      <c r="D56" s="89" t="s">
        <v>31</v>
      </c>
      <c r="E56" s="90"/>
      <c r="F56" s="46" t="s">
        <v>32</v>
      </c>
      <c r="G56" s="46"/>
      <c r="H56" s="46"/>
      <c r="I56" s="46"/>
      <c r="J56" s="46"/>
      <c r="K56" s="46"/>
      <c r="L56" s="47"/>
      <c r="M56" s="45">
        <v>1</v>
      </c>
      <c r="N56" s="85"/>
      <c r="O56" s="100"/>
    </row>
    <row r="57" s="65" customFormat="1" ht="22.5" customHeight="1" spans="1:15">
      <c r="A57" s="76"/>
      <c r="B57" s="88"/>
      <c r="C57" s="86"/>
      <c r="D57" s="94"/>
      <c r="E57" s="95"/>
      <c r="F57" s="46" t="s">
        <v>33</v>
      </c>
      <c r="G57" s="46"/>
      <c r="H57" s="46"/>
      <c r="I57" s="46"/>
      <c r="J57" s="46"/>
      <c r="K57" s="46"/>
      <c r="L57" s="101"/>
      <c r="M57" s="45">
        <v>1</v>
      </c>
      <c r="N57" s="85"/>
      <c r="O57" s="102"/>
    </row>
    <row r="58" s="65" customFormat="1" ht="22.5" customHeight="1" spans="1:15">
      <c r="A58" s="76"/>
      <c r="B58" s="88"/>
      <c r="C58" s="86"/>
      <c r="D58" s="96"/>
      <c r="E58" s="97"/>
      <c r="F58" s="84" t="s">
        <v>34</v>
      </c>
      <c r="G58" s="84"/>
      <c r="H58" s="84"/>
      <c r="I58" s="84"/>
      <c r="J58" s="84"/>
      <c r="K58" s="84"/>
      <c r="L58" s="101"/>
      <c r="M58" s="45">
        <v>1</v>
      </c>
      <c r="N58" s="85"/>
      <c r="O58" s="102"/>
    </row>
    <row r="59" s="65" customFormat="1" ht="22.5" customHeight="1" spans="1:15">
      <c r="A59" s="76"/>
      <c r="B59" s="88"/>
      <c r="C59" s="86"/>
      <c r="D59" s="89" t="s">
        <v>35</v>
      </c>
      <c r="E59" s="90"/>
      <c r="F59" s="84" t="s">
        <v>36</v>
      </c>
      <c r="G59" s="84"/>
      <c r="H59" s="84"/>
      <c r="I59" s="84"/>
      <c r="J59" s="84"/>
      <c r="K59" s="84"/>
      <c r="L59" s="101"/>
      <c r="M59" s="45">
        <v>1</v>
      </c>
      <c r="N59" s="85"/>
      <c r="O59" s="102"/>
    </row>
    <row r="60" s="65" customFormat="1" ht="22.5" customHeight="1" spans="1:15">
      <c r="A60" s="76"/>
      <c r="B60" s="88"/>
      <c r="C60" s="87"/>
      <c r="D60" s="96"/>
      <c r="E60" s="97"/>
      <c r="F60" s="84" t="s">
        <v>37</v>
      </c>
      <c r="G60" s="84"/>
      <c r="H60" s="84"/>
      <c r="I60" s="84"/>
      <c r="J60" s="84"/>
      <c r="K60" s="84"/>
      <c r="L60" s="101"/>
      <c r="M60" s="45">
        <v>1</v>
      </c>
      <c r="N60" s="85"/>
      <c r="O60" s="102"/>
    </row>
    <row r="61" s="65" customFormat="1" ht="22.5" customHeight="1" spans="1:15">
      <c r="A61" s="76"/>
      <c r="B61" s="103" t="s">
        <v>38</v>
      </c>
      <c r="C61" s="88"/>
      <c r="D61" s="101" t="s">
        <v>39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2"/>
    </row>
    <row r="62" s="65" customFormat="1" ht="22.5" customHeight="1" spans="1:15">
      <c r="A62" s="76"/>
      <c r="B62" s="104" t="s">
        <v>40</v>
      </c>
      <c r="C62" s="105"/>
      <c r="D62" s="106" t="s">
        <v>41</v>
      </c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7"/>
    </row>
  </sheetData>
  <mergeCells count="107">
    <mergeCell ref="B2:O2"/>
    <mergeCell ref="B3:D3"/>
    <mergeCell ref="E3:K3"/>
    <mergeCell ref="L3:O3"/>
    <mergeCell ref="D4:E4"/>
    <mergeCell ref="F4:K4"/>
    <mergeCell ref="D5:E5"/>
    <mergeCell ref="F5:K5"/>
    <mergeCell ref="D6:E6"/>
    <mergeCell ref="F6:K6"/>
    <mergeCell ref="D7:E7"/>
    <mergeCell ref="F7:K7"/>
    <mergeCell ref="D8:E8"/>
    <mergeCell ref="F8:K8"/>
    <mergeCell ref="D9:E9"/>
    <mergeCell ref="F9:K9"/>
    <mergeCell ref="D10:E10"/>
    <mergeCell ref="F10:K10"/>
    <mergeCell ref="D11:E11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1:K21"/>
    <mergeCell ref="F22:K22"/>
    <mergeCell ref="F23:K23"/>
    <mergeCell ref="F24:K24"/>
    <mergeCell ref="F25:K25"/>
    <mergeCell ref="F26:K26"/>
    <mergeCell ref="F27:K27"/>
    <mergeCell ref="F28:K28"/>
    <mergeCell ref="F29:K29"/>
    <mergeCell ref="F30:K30"/>
    <mergeCell ref="F31:K31"/>
    <mergeCell ref="F32:K32"/>
    <mergeCell ref="F33:K33"/>
    <mergeCell ref="F34:K34"/>
    <mergeCell ref="F35:K35"/>
    <mergeCell ref="F36:K36"/>
    <mergeCell ref="F37:K37"/>
    <mergeCell ref="F38:K38"/>
    <mergeCell ref="F39:K39"/>
    <mergeCell ref="F40:K40"/>
    <mergeCell ref="F41:K41"/>
    <mergeCell ref="F42:K42"/>
    <mergeCell ref="F43:K43"/>
    <mergeCell ref="F44:K44"/>
    <mergeCell ref="F45:K45"/>
    <mergeCell ref="F46:K46"/>
    <mergeCell ref="F47:K47"/>
    <mergeCell ref="F48:K48"/>
    <mergeCell ref="F49:K49"/>
    <mergeCell ref="F50:K50"/>
    <mergeCell ref="F51:K51"/>
    <mergeCell ref="F52:K52"/>
    <mergeCell ref="F53:K53"/>
    <mergeCell ref="F54:K54"/>
    <mergeCell ref="F55:K55"/>
    <mergeCell ref="F56:K56"/>
    <mergeCell ref="F57:K57"/>
    <mergeCell ref="F58:K58"/>
    <mergeCell ref="F59:K59"/>
    <mergeCell ref="F60:K60"/>
    <mergeCell ref="B61:C61"/>
    <mergeCell ref="D61:O61"/>
    <mergeCell ref="B62:C62"/>
    <mergeCell ref="D62:O62"/>
    <mergeCell ref="B5:B11"/>
    <mergeCell ref="B12:B23"/>
    <mergeCell ref="B24:B32"/>
    <mergeCell ref="B33:B45"/>
    <mergeCell ref="B46:B55"/>
    <mergeCell ref="B56:B60"/>
    <mergeCell ref="C5:C8"/>
    <mergeCell ref="C9:C11"/>
    <mergeCell ref="C12:C23"/>
    <mergeCell ref="C24:C32"/>
    <mergeCell ref="C33:C45"/>
    <mergeCell ref="C46:C55"/>
    <mergeCell ref="C56:C60"/>
    <mergeCell ref="M33:M35"/>
    <mergeCell ref="M36:M38"/>
    <mergeCell ref="M39:M41"/>
    <mergeCell ref="M42:M43"/>
    <mergeCell ref="M44:M45"/>
    <mergeCell ref="D20:E23"/>
    <mergeCell ref="D12:E15"/>
    <mergeCell ref="D16:E19"/>
    <mergeCell ref="D30:E32"/>
    <mergeCell ref="D24:E26"/>
    <mergeCell ref="D27:E29"/>
    <mergeCell ref="D39:E41"/>
    <mergeCell ref="D42:E43"/>
    <mergeCell ref="D44:E45"/>
    <mergeCell ref="D46:E49"/>
    <mergeCell ref="D50:E52"/>
    <mergeCell ref="D53:E55"/>
    <mergeCell ref="D56:E58"/>
    <mergeCell ref="D59:E60"/>
    <mergeCell ref="D33:E35"/>
    <mergeCell ref="D36:E38"/>
  </mergeCells>
  <pageMargins left="0.529166666666667" right="0.707638888888889" top="0.2" bottom="0.159027777777778" header="0.16875" footer="0.159027777777778"/>
  <pageSetup paperSize="9" scale="9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N12"/>
  <sheetViews>
    <sheetView workbookViewId="0">
      <selection activeCell="A1" sqref="A1"/>
    </sheetView>
  </sheetViews>
  <sheetFormatPr defaultColWidth="9" defaultRowHeight="13.5"/>
  <cols>
    <col min="1" max="1" width="2.25833333333333" style="1" customWidth="1"/>
    <col min="2" max="2" width="16.875" style="1" customWidth="1"/>
    <col min="3" max="3" width="22.5" style="1" customWidth="1"/>
    <col min="4" max="5" width="12.5" style="1" customWidth="1"/>
    <col min="6" max="11" width="9.375" style="1" customWidth="1"/>
    <col min="12" max="12" width="18.7583333333333" style="1" customWidth="1"/>
    <col min="13" max="14" width="13.7583333333333" style="1" customWidth="1"/>
    <col min="15" max="16384" width="9" style="1"/>
  </cols>
  <sheetData>
    <row r="1" ht="30" customHeight="1" spans="2:14">
      <c r="B1" s="29" t="s">
        <v>42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ht="30" customHeight="1" spans="2:14">
      <c r="B2" s="32" t="s">
        <v>43</v>
      </c>
      <c r="C2" s="33"/>
      <c r="D2" s="34"/>
      <c r="E2" s="35" t="s">
        <v>44</v>
      </c>
      <c r="F2" s="36"/>
      <c r="G2" s="36"/>
      <c r="H2" s="36"/>
      <c r="I2" s="36"/>
      <c r="J2" s="36"/>
      <c r="K2" s="37"/>
      <c r="L2" s="38" t="s">
        <v>45</v>
      </c>
      <c r="M2" s="38"/>
      <c r="N2" s="39"/>
    </row>
    <row r="3" ht="33.75" customHeight="1" spans="2:14">
      <c r="B3" s="40" t="s">
        <v>7</v>
      </c>
      <c r="C3" s="41" t="s">
        <v>8</v>
      </c>
      <c r="D3" s="41" t="s">
        <v>9</v>
      </c>
      <c r="E3" s="41"/>
      <c r="F3" s="41" t="s">
        <v>10</v>
      </c>
      <c r="G3" s="41"/>
      <c r="H3" s="41"/>
      <c r="I3" s="41"/>
      <c r="J3" s="41"/>
      <c r="K3" s="41"/>
      <c r="L3" s="41" t="s">
        <v>11</v>
      </c>
      <c r="M3" s="42" t="s">
        <v>12</v>
      </c>
      <c r="N3" s="43" t="s">
        <v>13</v>
      </c>
    </row>
    <row r="4" ht="18.75" customHeight="1" spans="2:14">
      <c r="B4" s="44" t="s">
        <v>46</v>
      </c>
      <c r="C4" s="45"/>
      <c r="D4" s="45"/>
      <c r="E4" s="45"/>
      <c r="F4" s="46"/>
      <c r="G4" s="46"/>
      <c r="H4" s="46"/>
      <c r="I4" s="46"/>
      <c r="J4" s="46"/>
      <c r="K4" s="46"/>
      <c r="L4" s="47"/>
      <c r="M4" s="45"/>
      <c r="N4" s="48"/>
    </row>
    <row r="5" ht="18.75" customHeight="1" spans="2:14">
      <c r="B5" s="44"/>
      <c r="C5" s="49"/>
      <c r="D5" s="50"/>
      <c r="E5" s="50"/>
      <c r="F5" s="51"/>
      <c r="G5" s="51"/>
      <c r="H5" s="51"/>
      <c r="I5" s="51"/>
      <c r="J5" s="51"/>
      <c r="K5" s="51"/>
      <c r="L5" s="52"/>
      <c r="M5" s="53"/>
      <c r="N5" s="48"/>
    </row>
    <row r="6" ht="18.75" customHeight="1" spans="2:14">
      <c r="B6" s="44"/>
      <c r="C6" s="49"/>
      <c r="D6" s="50"/>
      <c r="E6" s="50"/>
      <c r="F6" s="51"/>
      <c r="G6" s="51"/>
      <c r="H6" s="51"/>
      <c r="I6" s="51"/>
      <c r="J6" s="51"/>
      <c r="K6" s="51"/>
      <c r="L6" s="52"/>
      <c r="M6" s="53"/>
      <c r="N6" s="48"/>
    </row>
    <row r="7" ht="18.75" customHeight="1" spans="2:14">
      <c r="B7" s="44" t="s">
        <v>47</v>
      </c>
      <c r="C7" s="45"/>
      <c r="D7" s="45"/>
      <c r="E7" s="45"/>
      <c r="F7" s="46"/>
      <c r="G7" s="46"/>
      <c r="H7" s="46"/>
      <c r="I7" s="46"/>
      <c r="J7" s="46"/>
      <c r="K7" s="46"/>
      <c r="L7" s="47"/>
      <c r="M7" s="45"/>
      <c r="N7" s="48"/>
    </row>
    <row r="8" ht="18.75" customHeight="1" spans="2:14">
      <c r="B8" s="44"/>
      <c r="C8" s="54"/>
      <c r="D8" s="55"/>
      <c r="E8" s="55"/>
      <c r="F8" s="51"/>
      <c r="G8" s="51"/>
      <c r="H8" s="51"/>
      <c r="I8" s="51"/>
      <c r="J8" s="51"/>
      <c r="K8" s="51"/>
      <c r="L8" s="52"/>
      <c r="M8" s="56"/>
      <c r="N8" s="48"/>
    </row>
    <row r="9" ht="18.75" customHeight="1" spans="2:14">
      <c r="B9" s="44"/>
      <c r="C9" s="54"/>
      <c r="D9" s="55"/>
      <c r="E9" s="55"/>
      <c r="F9" s="51"/>
      <c r="G9" s="51"/>
      <c r="H9" s="51"/>
      <c r="I9" s="51"/>
      <c r="J9" s="51"/>
      <c r="K9" s="51"/>
      <c r="L9" s="52"/>
      <c r="M9" s="56"/>
      <c r="N9" s="48"/>
    </row>
    <row r="10" ht="18.75" customHeight="1" spans="2:14">
      <c r="B10" s="44" t="s">
        <v>48</v>
      </c>
      <c r="C10" s="45"/>
      <c r="D10" s="45"/>
      <c r="E10" s="45"/>
      <c r="F10" s="46"/>
      <c r="G10" s="46"/>
      <c r="H10" s="46"/>
      <c r="I10" s="46"/>
      <c r="J10" s="46"/>
      <c r="K10" s="46"/>
      <c r="L10" s="47"/>
      <c r="M10" s="45"/>
      <c r="N10" s="48"/>
    </row>
    <row r="11" ht="22.5" customHeight="1" spans="2:14">
      <c r="B11" s="57" t="s">
        <v>38</v>
      </c>
      <c r="C11" s="58"/>
      <c r="D11" s="59">
        <f>SUM(N4:N10)</f>
        <v>0</v>
      </c>
      <c r="E11" s="59"/>
      <c r="F11" s="59"/>
      <c r="G11" s="59"/>
      <c r="H11" s="59"/>
      <c r="I11" s="59"/>
      <c r="J11" s="59"/>
      <c r="K11" s="59"/>
      <c r="L11" s="59"/>
      <c r="M11" s="59"/>
      <c r="N11" s="60"/>
    </row>
    <row r="12" ht="22.5" customHeight="1" spans="2:14">
      <c r="B12" s="61" t="s">
        <v>40</v>
      </c>
      <c r="C12" s="62"/>
      <c r="D12" s="63">
        <f>D11/21.75</f>
        <v>0</v>
      </c>
      <c r="E12" s="63"/>
      <c r="F12" s="63"/>
      <c r="G12" s="63"/>
      <c r="H12" s="63"/>
      <c r="I12" s="63"/>
      <c r="J12" s="63"/>
      <c r="K12" s="63"/>
      <c r="L12" s="63"/>
      <c r="M12" s="63"/>
      <c r="N12" s="64"/>
    </row>
  </sheetData>
  <mergeCells count="28">
    <mergeCell ref="B1:N1"/>
    <mergeCell ref="B2:D2"/>
    <mergeCell ref="E2:K2"/>
    <mergeCell ref="L2:N2"/>
    <mergeCell ref="D3:E3"/>
    <mergeCell ref="F3:K3"/>
    <mergeCell ref="D4:E4"/>
    <mergeCell ref="F4:K4"/>
    <mergeCell ref="D5:E5"/>
    <mergeCell ref="F5:K5"/>
    <mergeCell ref="D6:E6"/>
    <mergeCell ref="F6:K6"/>
    <mergeCell ref="D7:E7"/>
    <mergeCell ref="F7:K7"/>
    <mergeCell ref="D8:E8"/>
    <mergeCell ref="F8:K8"/>
    <mergeCell ref="D9:E9"/>
    <mergeCell ref="F9:K9"/>
    <mergeCell ref="D10:E10"/>
    <mergeCell ref="F10:K10"/>
    <mergeCell ref="B11:C11"/>
    <mergeCell ref="D11:N11"/>
    <mergeCell ref="B12:C12"/>
    <mergeCell ref="D12:N12"/>
    <mergeCell ref="B4:B6"/>
    <mergeCell ref="B7:B9"/>
    <mergeCell ref="N4:N6"/>
    <mergeCell ref="N7:N9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O23"/>
  <sheetViews>
    <sheetView topLeftCell="A2" workbookViewId="0">
      <selection activeCell="A2" sqref="A2"/>
    </sheetView>
  </sheetViews>
  <sheetFormatPr defaultColWidth="9" defaultRowHeight="13.5"/>
  <cols>
    <col min="1" max="1" width="2.25833333333333" customWidth="1"/>
    <col min="3" max="3" width="22.5" customWidth="1"/>
    <col min="4" max="4" width="31.875" customWidth="1"/>
    <col min="5" max="15" width="11.875" customWidth="1"/>
  </cols>
  <sheetData>
    <row r="1" ht="14.25" hidden="1"/>
    <row r="2" ht="30" customHeight="1" spans="2:15">
      <c r="B2" s="2" t="s">
        <v>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30" customHeight="1" spans="2:15">
      <c r="B3" s="5" t="s">
        <v>43</v>
      </c>
      <c r="C3" s="6"/>
      <c r="D3" s="6"/>
      <c r="E3" s="7" t="s">
        <v>44</v>
      </c>
      <c r="F3" s="7"/>
      <c r="G3" s="7"/>
      <c r="H3" s="7"/>
      <c r="I3" s="7"/>
      <c r="J3" s="7"/>
      <c r="K3" s="7"/>
      <c r="L3" s="6" t="s">
        <v>45</v>
      </c>
      <c r="M3" s="6"/>
      <c r="N3" s="6"/>
      <c r="O3" s="8"/>
    </row>
    <row r="4" ht="33.75" customHeight="1" spans="2:15">
      <c r="B4" s="9" t="s">
        <v>50</v>
      </c>
      <c r="C4" s="10" t="s">
        <v>51</v>
      </c>
      <c r="D4" s="10" t="s">
        <v>52</v>
      </c>
      <c r="E4" s="10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/>
      <c r="K4" s="11"/>
      <c r="L4" s="11"/>
      <c r="M4" s="11"/>
      <c r="N4" s="11"/>
      <c r="O4" s="12"/>
    </row>
    <row r="5" ht="18.75" customHeight="1" spans="2:15">
      <c r="B5" s="13">
        <v>1</v>
      </c>
      <c r="C5" s="14"/>
      <c r="D5" s="14"/>
      <c r="E5" s="15"/>
      <c r="F5" s="16"/>
      <c r="G5" s="17"/>
      <c r="H5" s="17"/>
      <c r="I5" s="18"/>
      <c r="J5" s="18"/>
      <c r="K5" s="18"/>
      <c r="L5" s="18"/>
      <c r="M5" s="18"/>
      <c r="N5" s="18"/>
      <c r="O5" s="19"/>
    </row>
    <row r="6" ht="18.75" customHeight="1" spans="2:15">
      <c r="B6" s="13">
        <v>2</v>
      </c>
      <c r="C6" s="20"/>
      <c r="D6" s="20"/>
      <c r="E6" s="21"/>
      <c r="F6" s="16"/>
      <c r="G6" s="17"/>
      <c r="H6" s="17"/>
      <c r="I6" s="18"/>
      <c r="J6" s="18"/>
      <c r="K6" s="18"/>
      <c r="L6" s="18"/>
      <c r="M6" s="18"/>
      <c r="N6" s="18"/>
      <c r="O6" s="19"/>
    </row>
    <row r="7" ht="18.75" customHeight="1" spans="2:15">
      <c r="B7" s="13">
        <v>3</v>
      </c>
      <c r="C7" s="20"/>
      <c r="D7" s="20"/>
      <c r="E7" s="22"/>
      <c r="F7" s="16"/>
      <c r="G7" s="17"/>
      <c r="H7" s="17"/>
      <c r="I7" s="16"/>
      <c r="J7" s="16"/>
      <c r="K7" s="16"/>
      <c r="L7" s="16"/>
      <c r="M7" s="16"/>
      <c r="N7" s="16"/>
      <c r="O7" s="23"/>
    </row>
    <row r="8" ht="22.5" customHeight="1" spans="2:15">
      <c r="B8" s="24" t="s">
        <v>58</v>
      </c>
      <c r="C8" s="25"/>
      <c r="D8" s="26">
        <f>H5+H6+H7</f>
        <v>0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</row>
    <row r="9" s="1" customFormat="1" spans="2:15">
      <c r="F9" s="28"/>
      <c r="G9" s="28"/>
      <c r="H9" s="28"/>
      <c r="I9" s="28"/>
      <c r="J9" s="28"/>
      <c r="K9" s="28"/>
    </row>
    <row r="10" s="1" customFormat="1"/>
    <row r="11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 spans="6:11">
      <c r="F23" s="28"/>
      <c r="G23" s="28"/>
      <c r="H23" s="28"/>
      <c r="I23" s="28"/>
      <c r="J23" s="28"/>
      <c r="K23" s="28"/>
    </row>
  </sheetData>
  <mergeCells count="10">
    <mergeCell ref="B2:O2"/>
    <mergeCell ref="B3:D3"/>
    <mergeCell ref="E3:K3"/>
    <mergeCell ref="L3:O3"/>
    <mergeCell ref="I4:O4"/>
    <mergeCell ref="I5:O5"/>
    <mergeCell ref="I6:O6"/>
    <mergeCell ref="I7:O7"/>
    <mergeCell ref="B8:C8"/>
    <mergeCell ref="D8:O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项目工作量评估表</vt:lpstr>
      <vt:lpstr>独立测试</vt:lpstr>
      <vt:lpstr>产品采购评估表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</cp:lastModifiedBy>
  <cp:revision>1</cp:revision>
  <dcterms:created xsi:type="dcterms:W3CDTF">2006-09-16T00:00:00Z</dcterms:created>
  <cp:lastPrinted>2025-07-31T05:38:00Z</cp:lastPrinted>
  <dcterms:modified xsi:type="dcterms:W3CDTF">2026-04-19T03:50:18Z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60254CCECDD44FA8B7471502A74ACFF2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